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edios Anuales" sheetId="1" r:id="rId4"/>
    <sheet state="visible" name="Copia de Promedios Anuales" sheetId="2" r:id="rId5"/>
  </sheets>
  <definedNames/>
  <calcPr/>
  <extLst>
    <ext uri="GoogleSheetsCustomDataVersion2">
      <go:sheetsCustomData xmlns:go="http://customooxmlschemas.google.com/" r:id="rId6" roundtripDataChecksum="AzMFPIFF7efcWwK2qTFsrqm50+xDyhlBLGDJS8Grwno="/>
    </ext>
  </extLst>
</workbook>
</file>

<file path=xl/sharedStrings.xml><?xml version="1.0" encoding="utf-8"?>
<sst xmlns="http://schemas.openxmlformats.org/spreadsheetml/2006/main" count="16" uniqueCount="13">
  <si>
    <t>PIB (millones USD, últimos 12 meses) </t>
  </si>
  <si>
    <t>poblacion pais</t>
  </si>
  <si>
    <t>PIB per capita</t>
  </si>
  <si>
    <t>PIB per capita (USD)</t>
  </si>
  <si>
    <t>año</t>
  </si>
  <si>
    <t>Año</t>
  </si>
  <si>
    <t>PIB a precios corrientes (miles de millones $)</t>
  </si>
  <si>
    <t>PIB, volumen (miles de millones $ encadenado)</t>
  </si>
  <si>
    <t>PIB, volumen (desestacionalizada)</t>
  </si>
  <si>
    <t>Demanda Interna, volumen (miles de millones $ encadenado)</t>
  </si>
  <si>
    <t>Demanda Interna, volumen a precios del año anterior encadenado, referencia 2018 (miles de millones de pesos encadenados)</t>
  </si>
  <si>
    <t>Formación bruta capital fijo  (miles de millones $ encadenado)</t>
  </si>
  <si>
    <t>Formación bruta capital fijo (porcentaje del PIB, últimos 12 meses)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</si>
</sst>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readingOrder="0"/>
    </xf>
    <xf borderId="0" fillId="0" fontId="3" numFmtId="0" xfId="0" applyFont="1"/>
    <xf borderId="0" fillId="0" fontId="4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left" vertical="bottom"/>
    </xf>
    <xf borderId="1" fillId="0" fontId="2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2" width="13.71"/>
    <col customWidth="1" min="3" max="3" width="12.86"/>
    <col customWidth="1" min="4" max="4" width="18.14"/>
    <col customWidth="1" min="5" max="5" width="11.57"/>
    <col customWidth="1" min="6" max="10" width="8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265292.095</v>
      </c>
      <c r="B2" s="4">
        <v>1.7919192E7</v>
      </c>
      <c r="C2" s="3">
        <f t="shared" ref="C2:C9" si="1">A2/B2</f>
        <v>0.01480491392</v>
      </c>
      <c r="D2" s="3">
        <f t="shared" ref="D2:D9" si="2">C2*1000000</f>
        <v>14804.91392</v>
      </c>
      <c r="E2" s="5">
        <v>2017.0</v>
      </c>
    </row>
    <row r="3">
      <c r="A3" s="3">
        <v>295027.2925</v>
      </c>
      <c r="B3" s="4">
        <v>1.8251405E7</v>
      </c>
      <c r="C3" s="3">
        <f t="shared" si="1"/>
        <v>0.01616463459</v>
      </c>
      <c r="D3" s="3">
        <f t="shared" si="2"/>
        <v>16164.63459</v>
      </c>
      <c r="E3" s="5">
        <v>2018.0</v>
      </c>
    </row>
    <row r="4">
      <c r="A4" s="3">
        <v>285082.045</v>
      </c>
      <c r="B4" s="4">
        <v>1.8607216E7</v>
      </c>
      <c r="C4" s="3">
        <f t="shared" si="1"/>
        <v>0.01532104776</v>
      </c>
      <c r="D4" s="3">
        <f t="shared" si="2"/>
        <v>15321.04776</v>
      </c>
      <c r="E4" s="5">
        <v>2019.0</v>
      </c>
    </row>
    <row r="5">
      <c r="A5" s="3">
        <v>256655.1875</v>
      </c>
      <c r="B5" s="4">
        <v>1.895831E7</v>
      </c>
      <c r="C5" s="3">
        <f t="shared" si="1"/>
        <v>0.01353787271</v>
      </c>
      <c r="D5" s="3">
        <f t="shared" si="2"/>
        <v>13537.87271</v>
      </c>
      <c r="E5" s="5">
        <v>2020.0</v>
      </c>
    </row>
    <row r="6">
      <c r="A6" s="3">
        <v>296185.265</v>
      </c>
      <c r="B6" s="4">
        <v>1.9178363E7</v>
      </c>
      <c r="C6" s="3">
        <f t="shared" si="1"/>
        <v>0.01544371983</v>
      </c>
      <c r="D6" s="3">
        <f t="shared" si="2"/>
        <v>15443.71983</v>
      </c>
      <c r="E6" s="5">
        <v>2021.0</v>
      </c>
    </row>
    <row r="7">
      <c r="A7" s="3">
        <v>308624.1625</v>
      </c>
      <c r="B7" s="4">
        <v>1.9328563E7</v>
      </c>
      <c r="C7" s="3">
        <f t="shared" si="1"/>
        <v>0.01596725853</v>
      </c>
      <c r="D7" s="3">
        <f t="shared" si="2"/>
        <v>15967.25853</v>
      </c>
      <c r="E7" s="5">
        <v>2022.0</v>
      </c>
    </row>
    <row r="8">
      <c r="A8" s="3">
        <v>323617.015</v>
      </c>
      <c r="B8" s="4">
        <v>1.9460889E7</v>
      </c>
      <c r="C8" s="3">
        <f t="shared" si="1"/>
        <v>0.01662909721</v>
      </c>
      <c r="D8" s="3">
        <f t="shared" si="2"/>
        <v>16629.09721</v>
      </c>
      <c r="E8" s="5">
        <v>2023.0</v>
      </c>
    </row>
    <row r="9">
      <c r="A9" s="3">
        <v>328238.535</v>
      </c>
      <c r="B9" s="4">
        <v>1.9586377E7</v>
      </c>
      <c r="C9" s="3">
        <f t="shared" si="1"/>
        <v>0.01675851205</v>
      </c>
      <c r="D9" s="3">
        <f t="shared" si="2"/>
        <v>16758.51205</v>
      </c>
      <c r="E9" s="5">
        <v>2024.0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10.0"/>
    <col customWidth="1" min="2" max="6" width="20.0"/>
    <col customWidth="1" min="7" max="7" width="12.0"/>
    <col customWidth="1" min="8" max="9" width="20.0"/>
    <col customWidth="1" min="10" max="10" width="15.29"/>
    <col customWidth="1" min="11" max="19" width="8.86"/>
  </cols>
  <sheetData>
    <row r="1">
      <c r="A1" s="6" t="s">
        <v>5</v>
      </c>
      <c r="B1" s="7">
        <v>2017.0</v>
      </c>
      <c r="C1" s="7">
        <v>2018.0</v>
      </c>
      <c r="D1" s="7">
        <v>2019.0</v>
      </c>
      <c r="E1" s="7">
        <v>2020.0</v>
      </c>
      <c r="F1" s="7">
        <v>2021.0</v>
      </c>
      <c r="G1" s="7">
        <v>2022.0</v>
      </c>
      <c r="H1" s="7">
        <v>2023.0</v>
      </c>
      <c r="I1" s="7">
        <v>2024.0</v>
      </c>
      <c r="J1" s="7"/>
      <c r="K1" s="2"/>
    </row>
    <row r="2">
      <c r="A2" s="8" t="s">
        <v>0</v>
      </c>
      <c r="B2" s="3">
        <v>265292.095</v>
      </c>
      <c r="C2" s="3">
        <v>295027.2925</v>
      </c>
      <c r="D2" s="3">
        <v>285082.045</v>
      </c>
      <c r="E2" s="3">
        <v>256655.1875</v>
      </c>
      <c r="F2" s="3">
        <v>296185.265</v>
      </c>
      <c r="G2" s="3">
        <v>308624.1625</v>
      </c>
      <c r="H2" s="3">
        <v>323617.015</v>
      </c>
      <c r="I2" s="3">
        <v>328238.535</v>
      </c>
    </row>
    <row r="3">
      <c r="A3" s="8" t="s">
        <v>6</v>
      </c>
      <c r="B3" s="3">
        <v>44828.725</v>
      </c>
      <c r="C3" s="3">
        <v>47358.7175</v>
      </c>
      <c r="D3" s="3">
        <v>48882.93</v>
      </c>
      <c r="E3" s="3">
        <v>50314.4375</v>
      </c>
      <c r="F3" s="3">
        <v>59854.5325</v>
      </c>
      <c r="G3" s="3">
        <v>65766.3625</v>
      </c>
      <c r="H3" s="3">
        <v>70464.37</v>
      </c>
      <c r="I3" s="3">
        <v>77907.72</v>
      </c>
    </row>
    <row r="4">
      <c r="A4" s="8" t="s">
        <v>7</v>
      </c>
      <c r="B4" s="3">
        <v>45541.595</v>
      </c>
      <c r="C4" s="3">
        <v>47358.7175</v>
      </c>
      <c r="D4" s="3">
        <v>47659.145</v>
      </c>
      <c r="E4" s="3">
        <v>44731.215</v>
      </c>
      <c r="F4" s="3">
        <v>49792.5175</v>
      </c>
      <c r="G4" s="3">
        <v>50865.0475</v>
      </c>
      <c r="H4" s="3">
        <v>51130.2425</v>
      </c>
      <c r="I4" s="3">
        <v>52482.2825</v>
      </c>
    </row>
    <row r="5">
      <c r="A5" s="8" t="s">
        <v>8</v>
      </c>
      <c r="B5" s="3">
        <v>45591.8625</v>
      </c>
      <c r="C5" s="3">
        <v>47426.05</v>
      </c>
      <c r="D5" s="3">
        <v>47683.38499999999</v>
      </c>
      <c r="E5" s="3">
        <v>44631.8075</v>
      </c>
      <c r="F5" s="3">
        <v>49785.1225</v>
      </c>
      <c r="G5" s="3">
        <v>50866.97</v>
      </c>
      <c r="H5" s="3">
        <v>51188.71</v>
      </c>
      <c r="I5" s="3">
        <v>52434.1325</v>
      </c>
    </row>
    <row r="6">
      <c r="A6" s="8" t="s">
        <v>9</v>
      </c>
      <c r="B6" s="3">
        <v>3967.565</v>
      </c>
      <c r="C6" s="3">
        <v>4206.3575</v>
      </c>
      <c r="D6" s="3">
        <v>4015.5325</v>
      </c>
      <c r="E6" s="3">
        <v>4046.3375</v>
      </c>
      <c r="F6" s="3">
        <v>3864.005</v>
      </c>
      <c r="G6" s="3">
        <v>3614.865</v>
      </c>
      <c r="H6" s="3">
        <v>3615.6875</v>
      </c>
      <c r="I6" s="3">
        <v>3802.41</v>
      </c>
    </row>
    <row r="7">
      <c r="A7" s="8" t="s">
        <v>10</v>
      </c>
      <c r="B7" s="3">
        <v>45599.165</v>
      </c>
      <c r="C7" s="3">
        <v>47888.64</v>
      </c>
      <c r="D7" s="3">
        <v>48289.87</v>
      </c>
      <c r="E7" s="3">
        <v>43760.1675</v>
      </c>
      <c r="F7" s="3">
        <v>53086.98</v>
      </c>
      <c r="G7" s="3">
        <v>54317.31</v>
      </c>
      <c r="H7" s="3">
        <v>52302.4975</v>
      </c>
      <c r="I7" s="3">
        <v>53005.4</v>
      </c>
    </row>
    <row r="8">
      <c r="A8" s="8" t="s">
        <v>11</v>
      </c>
      <c r="B8" s="3">
        <v>10250.525</v>
      </c>
      <c r="C8" s="3">
        <v>10916.0875</v>
      </c>
      <c r="D8" s="3">
        <v>11405.7325</v>
      </c>
      <c r="E8" s="3">
        <v>10170.065</v>
      </c>
      <c r="F8" s="3">
        <v>11792.7875</v>
      </c>
      <c r="G8" s="3">
        <v>12337.9075</v>
      </c>
      <c r="H8" s="3">
        <v>12331.3125</v>
      </c>
      <c r="I8" s="3">
        <v>12152.72</v>
      </c>
    </row>
    <row r="9">
      <c r="A9" s="8" t="s">
        <v>12</v>
      </c>
      <c r="B9" s="3">
        <v>22.815</v>
      </c>
      <c r="C9" s="3">
        <v>22.83</v>
      </c>
      <c r="D9" s="3">
        <v>23.48</v>
      </c>
      <c r="E9" s="3">
        <v>23.45</v>
      </c>
      <c r="F9" s="3">
        <v>23.175</v>
      </c>
      <c r="G9" s="3">
        <v>24.015</v>
      </c>
      <c r="H9" s="3">
        <v>24.425</v>
      </c>
      <c r="I9" s="3">
        <v>23.3375</v>
      </c>
    </row>
    <row r="10">
      <c r="A10" s="9" t="s">
        <v>1</v>
      </c>
      <c r="B10" s="4">
        <v>1.7919192E7</v>
      </c>
      <c r="C10" s="4">
        <v>1.8251405E7</v>
      </c>
      <c r="D10" s="4">
        <v>1.8607216E7</v>
      </c>
      <c r="E10" s="4">
        <v>1.895831E7</v>
      </c>
      <c r="F10" s="4">
        <v>1.9178363E7</v>
      </c>
      <c r="G10" s="4">
        <v>1.9328563E7</v>
      </c>
      <c r="H10" s="4">
        <v>1.9460889E7</v>
      </c>
      <c r="I10" s="4">
        <v>1.9586377E7</v>
      </c>
    </row>
    <row r="11">
      <c r="A11" s="9" t="s">
        <v>2</v>
      </c>
      <c r="B11" s="3">
        <f t="shared" ref="B11:I11" si="1">B2/B10</f>
        <v>0.01480491392</v>
      </c>
      <c r="C11" s="3">
        <f t="shared" si="1"/>
        <v>0.01616463459</v>
      </c>
      <c r="D11" s="3">
        <f t="shared" si="1"/>
        <v>0.01532104776</v>
      </c>
      <c r="E11" s="3">
        <f t="shared" si="1"/>
        <v>0.01353787271</v>
      </c>
      <c r="F11" s="3">
        <f t="shared" si="1"/>
        <v>0.01544371983</v>
      </c>
      <c r="G11" s="3">
        <f t="shared" si="1"/>
        <v>0.01596725853</v>
      </c>
      <c r="H11" s="3">
        <f t="shared" si="1"/>
        <v>0.01662909721</v>
      </c>
      <c r="I11" s="3">
        <f t="shared" si="1"/>
        <v>0.01675851205</v>
      </c>
    </row>
    <row r="12">
      <c r="A12" s="10"/>
      <c r="B12" s="3">
        <f t="shared" ref="B12:I12" si="2">B11*1000000</f>
        <v>14804.91392</v>
      </c>
      <c r="C12" s="3">
        <f t="shared" si="2"/>
        <v>16164.63459</v>
      </c>
      <c r="D12" s="3">
        <f t="shared" si="2"/>
        <v>15321.04776</v>
      </c>
      <c r="E12" s="3">
        <f t="shared" si="2"/>
        <v>13537.87271</v>
      </c>
      <c r="F12" s="3">
        <f t="shared" si="2"/>
        <v>15443.71983</v>
      </c>
      <c r="G12" s="3">
        <f t="shared" si="2"/>
        <v>15967.25853</v>
      </c>
      <c r="H12" s="3">
        <f t="shared" si="2"/>
        <v>16629.09721</v>
      </c>
      <c r="I12" s="3">
        <f t="shared" si="2"/>
        <v>16758.51205</v>
      </c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 ht="15.75" customHeight="1">
      <c r="A21" s="10"/>
    </row>
    <row r="22" ht="15.75" customHeight="1">
      <c r="A22" s="10"/>
    </row>
    <row r="23" ht="15.75" customHeight="1">
      <c r="A23" s="10"/>
    </row>
    <row r="24" ht="15.75" customHeight="1">
      <c r="A24" s="10"/>
    </row>
    <row r="25" ht="15.75" customHeight="1">
      <c r="A25" s="10"/>
    </row>
    <row r="26" ht="15.75" customHeight="1">
      <c r="A26" s="10"/>
    </row>
    <row r="27" ht="15.75" customHeight="1">
      <c r="A27" s="10"/>
    </row>
    <row r="28" ht="15.75" customHeight="1">
      <c r="A28" s="10"/>
    </row>
    <row r="29" ht="15.75" customHeight="1">
      <c r="A29" s="10"/>
    </row>
    <row r="30" ht="15.75" customHeight="1">
      <c r="A30" s="10"/>
    </row>
    <row r="31" ht="15.75" customHeight="1">
      <c r="A31" s="10"/>
    </row>
    <row r="32" ht="15.75" customHeight="1">
      <c r="A32" s="10"/>
    </row>
    <row r="33" ht="15.75" customHeight="1">
      <c r="A33" s="10"/>
    </row>
    <row r="34" ht="15.75" customHeight="1">
      <c r="A34" s="10"/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2025-10-10T22:01:46Z</dcterms:created>
  <dc:creator>openpyxl</dc:creator>
</cp:coreProperties>
</file>